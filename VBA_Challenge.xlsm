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 McBee\Documents\DACourse\ClassFolder\Module_2\Module2Challenge\"/>
    </mc:Choice>
  </mc:AlternateContent>
  <xr:revisionPtr revIDLastSave="0" documentId="13_ncr:1_{FE31D4A5-A6A1-451C-A1C5-5CCBD6F9E620}" xr6:coauthVersionLast="45" xr6:coauthVersionMax="45" xr10:uidLastSave="{00000000-0000-0000-0000-000000000000}"/>
  <bookViews>
    <workbookView xWindow="19425" yWindow="1980" windowWidth="16770" windowHeight="16545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Performance Resul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5" l="1"/>
  <c r="D6" i="5" l="1"/>
  <c r="C6" i="5"/>
  <c r="B6" i="5"/>
  <c r="H35" i="5"/>
  <c r="H34" i="5"/>
  <c r="H33" i="5"/>
  <c r="H32" i="5"/>
  <c r="H31" i="5"/>
  <c r="H30" i="5"/>
  <c r="H29" i="5"/>
  <c r="H28" i="5"/>
  <c r="H27" i="5"/>
  <c r="C7" i="5" l="1"/>
  <c r="D35" i="5"/>
  <c r="D34" i="5"/>
  <c r="D33" i="5"/>
  <c r="D32" i="5"/>
  <c r="D31" i="5"/>
  <c r="D30" i="5"/>
  <c r="D29" i="5"/>
  <c r="D28" i="5"/>
  <c r="D27" i="5"/>
  <c r="B7" i="5" l="1"/>
  <c r="D7" i="5"/>
  <c r="D4" i="5"/>
  <c r="B8" i="5" s="1"/>
  <c r="C4" i="5"/>
  <c r="B4" i="5"/>
  <c r="H21" i="5"/>
  <c r="H20" i="5"/>
  <c r="H19" i="5"/>
  <c r="H18" i="5"/>
  <c r="H17" i="5"/>
  <c r="H16" i="5"/>
  <c r="H15" i="5"/>
  <c r="H14" i="5"/>
  <c r="H13" i="5" l="1"/>
  <c r="C5" i="5" s="1"/>
  <c r="D21" i="5"/>
  <c r="D20" i="5"/>
  <c r="D19" i="5"/>
  <c r="D18" i="5"/>
  <c r="D17" i="5"/>
  <c r="D16" i="5"/>
  <c r="D15" i="5"/>
  <c r="D14" i="5"/>
  <c r="D13" i="5"/>
  <c r="D5" i="5" l="1"/>
  <c r="B5" i="5"/>
</calcChain>
</file>

<file path=xl/sharedStrings.xml><?xml version="1.0" encoding="utf-8"?>
<sst xmlns="http://schemas.openxmlformats.org/spreadsheetml/2006/main" count="12156" uniqueCount="567">
  <si>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</si>
  <si>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</si>
  <si>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</si>
  <si>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</si>
  <si>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</si>
  <si>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</si>
  <si>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</si>
  <si>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</si>
  <si>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</si>
  <si>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</si>
  <si>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</si>
  <si>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</si>
  <si>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</si>
  <si>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</si>
  <si>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</si>
  <si>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</si>
  <si>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</si>
  <si>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</si>
  <si>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</si>
  <si>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</si>
  <si>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</si>
  <si>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</si>
  <si>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</si>
  <si>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</si>
  <si>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</si>
  <si>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</si>
  <si>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</si>
  <si>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</si>
  <si>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</si>
  <si>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</si>
  <si>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</si>
  <si>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</si>
  <si>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</si>
  <si>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</si>
  <si>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</si>
  <si>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</si>
  <si>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</si>
  <si>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</si>
  <si>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</si>
  <si>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</si>
  <si>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</si>
  <si>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</si>
  <si>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</si>
  <si>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</si>
  <si>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</si>
  <si>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</si>
  <si>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</si>
  <si>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</si>
  <si>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</si>
  <si>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</si>
  <si>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</si>
  <si>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</si>
  <si>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</si>
  <si>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</si>
  <si>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</si>
  <si>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</si>
  <si>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</si>
  <si>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</si>
  <si>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</si>
  <si>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</si>
  <si>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</si>
  <si>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</si>
  <si>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</si>
  <si>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</si>
  <si>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</si>
  <si>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</si>
  <si>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</si>
  <si>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</si>
  <si>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</si>
  <si>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</si>
  <si>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</si>
  <si>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</si>
  <si>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</si>
  <si>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</si>
  <si>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</si>
  <si>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</si>
  <si>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</si>
  <si>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</si>
  <si>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</si>
  <si>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</si>
  <si>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</si>
  <si>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</si>
  <si>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</si>
  <si>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</si>
  <si>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</si>
  <si>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</si>
  <si>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</si>
  <si>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</si>
  <si>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</si>
  <si>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</si>
  <si>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</si>
  <si>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</si>
  <si>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</si>
  <si>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</si>
  <si>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</si>
  <si>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</si>
  <si>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</si>
  <si>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</si>
  <si>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</si>
  <si>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</si>
  <si>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</si>
  <si>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</si>
  <si>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</si>
  <si>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</si>
  <si>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</si>
  <si>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</si>
  <si>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</si>
  <si>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</si>
  <si>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</si>
  <si>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</si>
  <si>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</si>
  <si>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</si>
  <si>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</si>
  <si>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</si>
  <si>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</si>
  <si>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</si>
  <si>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</si>
  <si>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</si>
  <si>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</si>
  <si>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</si>
  <si>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</si>
  <si>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</si>
  <si>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</si>
  <si>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</si>
  <si>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</si>
  <si>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</si>
  <si>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</si>
  <si>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</si>
  <si>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</si>
  <si>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</si>
  <si>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</si>
  <si>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</si>
  <si>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</si>
  <si>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</si>
  <si>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</si>
  <si>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</si>
  <si>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</si>
  <si>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</si>
  <si>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</si>
  <si>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</si>
  <si>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</si>
  <si>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</si>
  <si>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</si>
  <si>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</si>
  <si>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</si>
  <si>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</si>
  <si>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</si>
  <si>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</si>
  <si>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</si>
  <si>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</si>
  <si>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</si>
  <si>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</si>
  <si>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</si>
  <si>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</si>
  <si>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</si>
  <si>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</si>
  <si>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</si>
  <si>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</si>
  <si>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</si>
  <si>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</si>
  <si>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</si>
  <si>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</si>
  <si>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</si>
  <si>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</si>
  <si>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</si>
  <si>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</si>
  <si>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</si>
  <si>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</si>
  <si>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</si>
  <si>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</si>
  <si>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</si>
  <si>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</si>
  <si>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</si>
  <si>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</si>
  <si>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</si>
  <si>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</si>
  <si>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</si>
  <si>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</si>
  <si>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</si>
  <si>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</si>
  <si>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</si>
  <si>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</si>
  <si>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</si>
  <si>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</si>
  <si>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</si>
  <si>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</si>
  <si>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</si>
  <si>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</si>
  <si>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</si>
  <si>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</si>
  <si>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</si>
  <si>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</si>
  <si>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</si>
  <si>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</si>
  <si>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</si>
  <si>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</si>
  <si>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</si>
  <si>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</si>
  <si>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</si>
  <si>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</si>
  <si>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</si>
  <si>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</si>
  <si>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</si>
  <si>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</si>
  <si>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</si>
  <si>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</si>
  <si>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</si>
  <si>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</si>
  <si>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</si>
  <si>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</si>
  <si>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</si>
  <si>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</si>
  <si>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</si>
  <si>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</si>
  <si>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</si>
  <si>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</si>
  <si>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</si>
  <si>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</si>
  <si>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</si>
  <si>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</si>
  <si>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</si>
  <si>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</si>
  <si>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</si>
  <si>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</si>
  <si>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</si>
  <si>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</si>
  <si>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</si>
  <si>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</si>
  <si>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</si>
  <si>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</si>
  <si>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</si>
  <si>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</si>
  <si>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</si>
  <si>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</si>
  <si>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</si>
  <si>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</si>
  <si>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</si>
  <si>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</si>
  <si>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</si>
  <si>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</si>
  <si>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</si>
  <si>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</si>
  <si>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</si>
  <si>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</si>
  <si>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</si>
  <si>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</si>
  <si>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</si>
  <si>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</si>
  <si>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</si>
  <si>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</si>
  <si>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</si>
  <si>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</si>
  <si>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</si>
  <si>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</si>
  <si>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</si>
  <si>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</si>
  <si>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</si>
  <si>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</si>
  <si>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</si>
  <si>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</si>
  <si>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</si>
  <si>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</si>
  <si>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</si>
  <si>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</si>
  <si>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</si>
  <si>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</si>
  <si>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</si>
  <si>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</si>
  <si>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</si>
  <si>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</si>
  <si>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</si>
  <si>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</si>
  <si>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</si>
  <si>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</si>
  <si>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</si>
  <si>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</si>
  <si>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</si>
  <si>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</si>
  <si>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</si>
  <si>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</si>
  <si>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</si>
  <si>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</si>
  <si>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</si>
  <si>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</si>
  <si>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</si>
  <si>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</si>
  <si>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</si>
  <si>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</si>
  <si>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</si>
  <si>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</si>
  <si>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</si>
  <si>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</si>
  <si>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</si>
  <si>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</si>
  <si>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</si>
  <si>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</si>
  <si>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</si>
  <si>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</si>
  <si>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</si>
  <si>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</si>
  <si>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</si>
  <si>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</si>
  <si>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</si>
  <si>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</si>
  <si>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</si>
  <si>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</si>
  <si>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</si>
  <si>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</si>
  <si>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</si>
  <si>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</si>
  <si>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</si>
  <si>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</si>
  <si>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</si>
  <si>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</si>
  <si>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</si>
  <si>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</si>
  <si>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</si>
  <si>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</si>
  <si>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</si>
  <si>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</si>
  <si>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</si>
  <si>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</si>
  <si>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</si>
  <si>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</si>
  <si>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</si>
  <si>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</si>
  <si>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</si>
  <si>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</si>
  <si>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</si>
  <si>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</si>
  <si>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</si>
  <si>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</si>
  <si>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</si>
  <si>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</si>
  <si>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</si>
  <si>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</si>
  <si>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</si>
  <si>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</si>
  <si>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</si>
  <si>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</si>
  <si>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</si>
  <si>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</si>
  <si>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</si>
  <si>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</si>
  <si>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</si>
  <si>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</si>
  <si>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</si>
  <si>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</si>
  <si>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</si>
  <si>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</si>
  <si>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</si>
  <si>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</si>
  <si>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</si>
  <si>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</si>
  <si>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</si>
  <si>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</si>
  <si>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</si>
  <si>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</si>
  <si>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</si>
  <si>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</si>
  <si>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</si>
  <si>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</si>
  <si>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</si>
  <si>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</si>
  <si>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</si>
  <si>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</si>
  <si>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</si>
  <si>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</si>
  <si>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</si>
  <si>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</si>
  <si>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</si>
  <si>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</si>
  <si>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</si>
  <si>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</si>
  <si>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</si>
  <si>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</si>
  <si>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</si>
  <si>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</si>
  <si>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</si>
  <si>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</si>
  <si>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</si>
  <si>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</si>
  <si>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</si>
  <si>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</si>
  <si>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</si>
  <si>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</si>
  <si>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</si>
  <si>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</si>
  <si>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</si>
  <si>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</si>
  <si>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</si>
  <si>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</si>
  <si>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</si>
  <si>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</si>
  <si>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</si>
  <si>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</si>
  <si>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</si>
  <si>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</si>
  <si>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</si>
  <si>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</si>
  <si>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</si>
  <si>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</si>
  <si>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</si>
  <si>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</si>
  <si>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</si>
  <si>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</si>
  <si>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</si>
  <si>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</si>
  <si>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</si>
  <si>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</si>
  <si>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</si>
  <si>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</si>
  <si>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</si>
  <si>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</si>
  <si>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</si>
  <si>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</si>
  <si>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</si>
  <si>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</si>
  <si>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</si>
  <si>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</si>
  <si>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</si>
  <si>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</si>
  <si>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</si>
  <si>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</si>
  <si>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</si>
  <si>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</si>
  <si>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</si>
  <si>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</si>
  <si>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</si>
  <si>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</si>
  <si>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</si>
  <si>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</si>
  <si>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</si>
  <si>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</si>
  <si>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</si>
  <si>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</si>
  <si>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</si>
  <si>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</si>
  <si>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</si>
  <si>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</si>
  <si>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</si>
  <si>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</si>
  <si>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</si>
  <si>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</si>
  <si>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</si>
  <si>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</si>
  <si>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</si>
  <si>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</si>
  <si>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</si>
  <si>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</si>
  <si>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</si>
  <si>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</si>
  <si>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</si>
  <si>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</si>
  <si>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</si>
  <si>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</si>
  <si>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</si>
  <si>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</si>
  <si>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</si>
  <si>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</si>
  <si>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</si>
  <si>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</si>
  <si>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</si>
  <si>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</si>
  <si>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</si>
  <si>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</si>
  <si>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</si>
  <si>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</si>
  <si>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</si>
  <si>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</si>
  <si>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</si>
  <si>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</si>
  <si>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</si>
  <si>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</si>
  <si>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</si>
  <si>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</si>
  <si>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</si>
  <si>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</si>
  <si>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</si>
  <si>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</si>
  <si>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</si>
  <si>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</si>
  <si>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</si>
  <si>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</si>
  <si>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</si>
  <si>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</si>
  <si>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</si>
  <si>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</si>
  <si>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</si>
  <si>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</si>
  <si>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</si>
  <si>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</si>
  <si>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</si>
  <si>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</si>
  <si>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</si>
  <si>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</si>
  <si>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</si>
  <si>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</si>
  <si>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</si>
  <si>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</si>
  <si>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</si>
  <si>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</si>
  <si>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</si>
  <si>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</si>
  <si>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</si>
  <si>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</si>
  <si>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</si>
  <si>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</si>
  <si>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</si>
  <si>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</si>
  <si>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</si>
  <si>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</si>
  <si>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</si>
  <si>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</si>
  <si>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</si>
  <si>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</si>
  <si>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</si>
  <si>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</si>
  <si>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</si>
  <si>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</si>
  <si>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</si>
  <si>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</si>
  <si>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</si>
  <si>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</si>
  <si>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</si>
  <si>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</si>
  <si>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Comparison of Performance Between AllStocksAnalysis vs AllStocksAnalysisRefactored</t>
  </si>
  <si>
    <t>AllStocksAnalysis</t>
  </si>
  <si>
    <t>AllStocksAnalysisRefactored</t>
  </si>
  <si>
    <t>Subroutine</t>
  </si>
  <si>
    <t>1st Run for 2017</t>
  </si>
  <si>
    <t>2nd Run for 2017</t>
  </si>
  <si>
    <t>3rd Run for 2017</t>
  </si>
  <si>
    <t>4th Run for 2017</t>
  </si>
  <si>
    <t>5th Run for 2017</t>
  </si>
  <si>
    <t>6th Run for 2017</t>
  </si>
  <si>
    <t>7th Run for 2017</t>
  </si>
  <si>
    <t>8th Run for 2017</t>
  </si>
  <si>
    <t>9th Run for 2017</t>
  </si>
  <si>
    <t>10th Run for 2017</t>
  </si>
  <si>
    <t>Run</t>
  </si>
  <si>
    <t>Run Number</t>
  </si>
  <si>
    <t>1st Run for 2018</t>
  </si>
  <si>
    <t>2nd Run for 2018</t>
  </si>
  <si>
    <t>3rd Run for 2018</t>
  </si>
  <si>
    <t>4th Run for 2018</t>
  </si>
  <si>
    <t>5th Run for 2018</t>
  </si>
  <si>
    <t>6th Run for 2018</t>
  </si>
  <si>
    <t>7th Run for 2018</t>
  </si>
  <si>
    <t>8th Run for 2018</t>
  </si>
  <si>
    <t>9th Run for 2018</t>
  </si>
  <si>
    <t>10th Run for 2018</t>
  </si>
  <si>
    <t>AllStocksAnalysis - 2017</t>
  </si>
  <si>
    <t>AllStocksAnalysis - 2018</t>
  </si>
  <si>
    <t>AllStocksAnalysis - Combined</t>
  </si>
  <si>
    <t>Difference In Time Between Runs</t>
  </si>
  <si>
    <t>Average Elapsed Time - AllStocksAnalysis</t>
  </si>
  <si>
    <t>Average Differences in Run Times - AllStocksAnalysis</t>
  </si>
  <si>
    <t>Average Elapsed Time - AllStocksAnalysisRefactored</t>
  </si>
  <si>
    <t>Average Differences in Run Times - AllStocksAnalysisRefactored</t>
  </si>
  <si>
    <t>2017 Elapsed Time</t>
  </si>
  <si>
    <t>2018 Elapsed Time</t>
  </si>
  <si>
    <t xml:space="preserve">2017 Refactored Elapsed Time </t>
  </si>
  <si>
    <t>2018 Refactored Elapsed Time</t>
  </si>
  <si>
    <t>All Stocks (2017)</t>
  </si>
  <si>
    <t>Elapsed time percent difference between subroutines</t>
  </si>
  <si>
    <t>Percent of change in run time differences between subroutines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</si>
</sst>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000000"/>
    <numFmt numFmtId="166" formatCode="#,##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3" fillId="0" borderId="2" xfId="0" applyFont="1" applyBorder="1"/>
    <xf numFmtId="0" fontId="1" fillId="0" borderId="3" xfId="0" applyFont="1" applyBorder="1"/>
    <xf numFmtId="0" fontId="0" fillId="0" borderId="0" xfId="0" applyAlignment="1">
      <alignment wrapText="1"/>
    </xf>
    <xf numFmtId="0" fontId="1" fillId="0" borderId="0" xfId="0" applyFont="1"/>
    <xf numFmtId="164" fontId="0" fillId="2" borderId="0" xfId="0" applyNumberFormat="1" applyFill="1"/>
    <xf numFmtId="164" fontId="0" fillId="3" borderId="0" xfId="0" applyNumberFormat="1" applyFill="1"/>
    <xf numFmtId="165" fontId="0" fillId="0" borderId="0" xfId="0" applyNumberFormat="1"/>
    <xf numFmtId="166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Stocks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'Performance Results'!$C$12</c:f>
              <c:strCache>
                <c:ptCount val="1"/>
                <c:pt idx="0">
                  <c:v>2017 Elapsed Time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numRef>
              <c:f>'Performance Results'!$B$13:$B$22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'Performance Results'!$C$13:$C$22</c:f>
              <c:numCache>
                <c:formatCode>#,##0.0000000</c:formatCode>
                <c:ptCount val="10"/>
                <c:pt idx="0">
                  <c:v>1.1875</c:v>
                </c:pt>
                <c:pt idx="1">
                  <c:v>1.105469</c:v>
                </c:pt>
                <c:pt idx="2">
                  <c:v>1.1484380000000001</c:v>
                </c:pt>
                <c:pt idx="3">
                  <c:v>1.152344</c:v>
                </c:pt>
                <c:pt idx="4">
                  <c:v>1.1328130000000001</c:v>
                </c:pt>
                <c:pt idx="5">
                  <c:v>1.1328130000000001</c:v>
                </c:pt>
                <c:pt idx="6">
                  <c:v>1.144531</c:v>
                </c:pt>
                <c:pt idx="7">
                  <c:v>1.152344</c:v>
                </c:pt>
                <c:pt idx="8">
                  <c:v>1.136719</c:v>
                </c:pt>
                <c:pt idx="9">
                  <c:v>1.152344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4D-43FD-A772-A825FF890782}"/>
            </c:ext>
          </c:extLst>
        </c:ser>
        <c:ser>
          <c:idx val="1"/>
          <c:order val="1"/>
          <c:tx>
            <c:strRef>
              <c:f>'Performance Results'!$G$12</c:f>
              <c:strCache>
                <c:ptCount val="1"/>
                <c:pt idx="0">
                  <c:v>2018 Elapsed Time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6"/>
              </a:solidFill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numRef>
              <c:f>'Performance Results'!$B$13:$B$22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'Performance Results'!$G$13:$G$22</c:f>
              <c:numCache>
                <c:formatCode>#,##0.0000000</c:formatCode>
                <c:ptCount val="10"/>
                <c:pt idx="0">
                  <c:v>1.140625</c:v>
                </c:pt>
                <c:pt idx="1">
                  <c:v>1.1875</c:v>
                </c:pt>
                <c:pt idx="2">
                  <c:v>1.1328130000000001</c:v>
                </c:pt>
                <c:pt idx="3">
                  <c:v>1.125</c:v>
                </c:pt>
                <c:pt idx="4">
                  <c:v>1.1328130000000001</c:v>
                </c:pt>
                <c:pt idx="5">
                  <c:v>1.128906</c:v>
                </c:pt>
                <c:pt idx="6">
                  <c:v>1.144531</c:v>
                </c:pt>
                <c:pt idx="7">
                  <c:v>1.140625</c:v>
                </c:pt>
                <c:pt idx="8">
                  <c:v>1.140625</c:v>
                </c:pt>
                <c:pt idx="9">
                  <c:v>1.113281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4D-43FD-A772-A825FF890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0861616"/>
        <c:axId val="438195584"/>
      </c:barChart>
      <c:catAx>
        <c:axId val="64086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95584"/>
        <c:crosses val="autoZero"/>
        <c:auto val="1"/>
        <c:lblAlgn val="ctr"/>
        <c:lblOffset val="100"/>
        <c:noMultiLvlLbl val="0"/>
      </c:catAx>
      <c:valAx>
        <c:axId val="4381955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Stocks analysis</a:t>
            </a:r>
          </a:p>
          <a:p>
            <a:pPr>
              <a:defRPr/>
            </a:pPr>
            <a:r>
              <a:rPr lang="en-US"/>
              <a:t>Refactored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'Performance Results'!$C$26</c:f>
              <c:strCache>
                <c:ptCount val="1"/>
                <c:pt idx="0">
                  <c:v>2017 Refactored Elapsed Time 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numRef>
              <c:f>'Performance Results'!$B$27:$B$36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'Performance Results'!$C$27:$C$36</c:f>
              <c:numCache>
                <c:formatCode>#,##0.0000000</c:formatCode>
                <c:ptCount val="10"/>
                <c:pt idx="0">
                  <c:v>0.27734379999999997</c:v>
                </c:pt>
                <c:pt idx="1">
                  <c:v>0.1914063</c:v>
                </c:pt>
                <c:pt idx="2">
                  <c:v>0.1992188</c:v>
                </c:pt>
                <c:pt idx="3">
                  <c:v>0.203125</c:v>
                </c:pt>
                <c:pt idx="4">
                  <c:v>0.1875</c:v>
                </c:pt>
                <c:pt idx="5">
                  <c:v>0.1992188</c:v>
                </c:pt>
                <c:pt idx="6">
                  <c:v>0.1914063</c:v>
                </c:pt>
                <c:pt idx="7">
                  <c:v>0.1953125</c:v>
                </c:pt>
                <c:pt idx="8">
                  <c:v>0.1914063</c:v>
                </c:pt>
                <c:pt idx="9">
                  <c:v>0.1992188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6-4A24-A323-25381835EBAE}"/>
            </c:ext>
          </c:extLst>
        </c:ser>
        <c:ser>
          <c:idx val="3"/>
          <c:order val="3"/>
          <c:tx>
            <c:strRef>
              <c:f>'Performance Results'!$G$26</c:f>
              <c:strCache>
                <c:ptCount val="1"/>
                <c:pt idx="0">
                  <c:v>2018 Refactored Elapsed Time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val>
            <c:numRef>
              <c:f>'Performance Results'!$G$27:$G$36</c:f>
              <c:numCache>
                <c:formatCode>#,##0.0000000</c:formatCode>
                <c:ptCount val="10"/>
                <c:pt idx="0">
                  <c:v>0.2578125</c:v>
                </c:pt>
                <c:pt idx="1">
                  <c:v>0.1914063</c:v>
                </c:pt>
                <c:pt idx="2">
                  <c:v>0.21875</c:v>
                </c:pt>
                <c:pt idx="3">
                  <c:v>0.2070313</c:v>
                </c:pt>
                <c:pt idx="4">
                  <c:v>0.1953125</c:v>
                </c:pt>
                <c:pt idx="5">
                  <c:v>0.1796875</c:v>
                </c:pt>
                <c:pt idx="6">
                  <c:v>0.1914063</c:v>
                </c:pt>
                <c:pt idx="7">
                  <c:v>0.203125</c:v>
                </c:pt>
                <c:pt idx="8">
                  <c:v>0.1914063</c:v>
                </c:pt>
                <c:pt idx="9">
                  <c:v>0.1992188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96-4A24-A323-2538183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0861616"/>
        <c:axId val="4381955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'Performance Results'!$F$26</c15:sqref>
                        </c15:formulaRef>
                      </c:ext>
                    </c:extLst>
                    <c:strCache>
                      <c:ptCount val="1"/>
                      <c:pt idx="0">
                        <c:v>Run Number</c:v>
                      </c:pt>
                    </c:strCache>
                  </c:strRef>
                </c:tx>
                <c:spPr>
                  <a:pattFill prst="narHorz">
                    <a:fgClr>
                      <a:schemeClr val="accent1"/>
                    </a:fgClr>
                    <a:bgClr>
                      <a:schemeClr val="accent1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1"/>
                    </a:innerShdw>
                  </a:effectLst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'Performance Results'!$B$27:$B$36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'Performance Results'!$F$27:$F$36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296-4A24-A323-25381835EBA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'Performance Results'!$H$26</c15:sqref>
                        </c15:formulaRef>
                      </c:ext>
                    </c:extLst>
                    <c:strCache>
                      <c:ptCount val="1"/>
                      <c:pt idx="0">
                        <c:v>Difference In Time Between Runs</c:v>
                      </c:pt>
                    </c:strCache>
                  </c:strRef>
                </c:tx>
                <c:spPr>
                  <a:pattFill prst="narHorz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3"/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'Performance Results'!$B$27:$B$36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'Performance Results'!$H$27:$H$36</c15:sqref>
                        </c15:formulaRef>
                      </c:ext>
                    </c:extLst>
                    <c:numCache>
                      <c:formatCode>#,##0.0000000</c:formatCode>
                      <c:ptCount val="10"/>
                      <c:pt idx="0">
                        <c:v>6.6406199999999999E-2</c:v>
                      </c:pt>
                      <c:pt idx="1">
                        <c:v>2.7343699999999999E-2</c:v>
                      </c:pt>
                      <c:pt idx="2">
                        <c:v>1.1718699999999999E-2</c:v>
                      </c:pt>
                      <c:pt idx="3">
                        <c:v>1.1718800000000001E-2</c:v>
                      </c:pt>
                      <c:pt idx="4">
                        <c:v>1.5625E-2</c:v>
                      </c:pt>
                      <c:pt idx="5">
                        <c:v>1.1718800000000001E-2</c:v>
                      </c:pt>
                      <c:pt idx="6">
                        <c:v>1.1718699999999999E-2</c:v>
                      </c:pt>
                      <c:pt idx="7">
                        <c:v>1.1718699999999999E-2</c:v>
                      </c:pt>
                      <c:pt idx="8">
                        <c:v>7.8125E-3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296-4A24-A323-25381835EBAE}"/>
                  </c:ext>
                </c:extLst>
              </c15:ser>
            </c15:filteredBarSeries>
          </c:ext>
        </c:extLst>
      </c:barChart>
      <c:catAx>
        <c:axId val="64086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95584"/>
        <c:crosses val="autoZero"/>
        <c:auto val="1"/>
        <c:lblAlgn val="ctr"/>
        <c:lblOffset val="100"/>
        <c:noMultiLvlLbl val="0"/>
      </c:catAx>
      <c:valAx>
        <c:axId val="4381955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Stocks analysis,</a:t>
            </a:r>
          </a:p>
          <a:p>
            <a:pPr>
              <a:defRPr/>
            </a:pPr>
            <a:r>
              <a:rPr lang="en-US"/>
              <a:t>Refactored and Not refactored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'Performance Results'!$C$26</c:f>
              <c:strCache>
                <c:ptCount val="1"/>
                <c:pt idx="0">
                  <c:v>2017 Refactored Elapsed Time 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numRef>
              <c:f>'Performance Results'!$B$27:$B$36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'Performance Results'!$C$27:$C$36</c:f>
              <c:numCache>
                <c:formatCode>#,##0.0000000</c:formatCode>
                <c:ptCount val="10"/>
                <c:pt idx="0">
                  <c:v>0.27734379999999997</c:v>
                </c:pt>
                <c:pt idx="1">
                  <c:v>0.1914063</c:v>
                </c:pt>
                <c:pt idx="2">
                  <c:v>0.1992188</c:v>
                </c:pt>
                <c:pt idx="3">
                  <c:v>0.203125</c:v>
                </c:pt>
                <c:pt idx="4">
                  <c:v>0.1875</c:v>
                </c:pt>
                <c:pt idx="5">
                  <c:v>0.1992188</c:v>
                </c:pt>
                <c:pt idx="6">
                  <c:v>0.1914063</c:v>
                </c:pt>
                <c:pt idx="7">
                  <c:v>0.1953125</c:v>
                </c:pt>
                <c:pt idx="8">
                  <c:v>0.1914063</c:v>
                </c:pt>
                <c:pt idx="9">
                  <c:v>0.1992188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F-4AAC-9783-A39A9885A0F8}"/>
            </c:ext>
          </c:extLst>
        </c:ser>
        <c:ser>
          <c:idx val="3"/>
          <c:order val="3"/>
          <c:tx>
            <c:strRef>
              <c:f>'Performance Results'!$G$26</c:f>
              <c:strCache>
                <c:ptCount val="1"/>
                <c:pt idx="0">
                  <c:v>2018 Refactored Elapsed Time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val>
            <c:numRef>
              <c:f>'Performance Results'!$G$27:$G$36</c:f>
              <c:numCache>
                <c:formatCode>#,##0.0000000</c:formatCode>
                <c:ptCount val="10"/>
                <c:pt idx="0">
                  <c:v>0.2578125</c:v>
                </c:pt>
                <c:pt idx="1">
                  <c:v>0.1914063</c:v>
                </c:pt>
                <c:pt idx="2">
                  <c:v>0.21875</c:v>
                </c:pt>
                <c:pt idx="3">
                  <c:v>0.2070313</c:v>
                </c:pt>
                <c:pt idx="4">
                  <c:v>0.1953125</c:v>
                </c:pt>
                <c:pt idx="5">
                  <c:v>0.1796875</c:v>
                </c:pt>
                <c:pt idx="6">
                  <c:v>0.1914063</c:v>
                </c:pt>
                <c:pt idx="7">
                  <c:v>0.203125</c:v>
                </c:pt>
                <c:pt idx="8">
                  <c:v>0.1914063</c:v>
                </c:pt>
                <c:pt idx="9">
                  <c:v>0.1992188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FF-4AAC-9783-A39A9885A0F8}"/>
            </c:ext>
          </c:extLst>
        </c:ser>
        <c:ser>
          <c:idx val="4"/>
          <c:order val="4"/>
          <c:tx>
            <c:strRef>
              <c:f>'Performance Results'!$C$12</c:f>
              <c:strCache>
                <c:ptCount val="1"/>
                <c:pt idx="0">
                  <c:v>2017 Elapsed Time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val>
            <c:numRef>
              <c:f>'Performance Results'!$C$13:$C$22</c:f>
              <c:numCache>
                <c:formatCode>#,##0.0000000</c:formatCode>
                <c:ptCount val="10"/>
                <c:pt idx="0">
                  <c:v>1.1875</c:v>
                </c:pt>
                <c:pt idx="1">
                  <c:v>1.105469</c:v>
                </c:pt>
                <c:pt idx="2">
                  <c:v>1.1484380000000001</c:v>
                </c:pt>
                <c:pt idx="3">
                  <c:v>1.152344</c:v>
                </c:pt>
                <c:pt idx="4">
                  <c:v>1.1328130000000001</c:v>
                </c:pt>
                <c:pt idx="5">
                  <c:v>1.1328130000000001</c:v>
                </c:pt>
                <c:pt idx="6">
                  <c:v>1.144531</c:v>
                </c:pt>
                <c:pt idx="7">
                  <c:v>1.152344</c:v>
                </c:pt>
                <c:pt idx="8">
                  <c:v>1.136719</c:v>
                </c:pt>
                <c:pt idx="9">
                  <c:v>1.152344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FF-4AAC-9783-A39A9885A0F8}"/>
            </c:ext>
          </c:extLst>
        </c:ser>
        <c:ser>
          <c:idx val="5"/>
          <c:order val="5"/>
          <c:tx>
            <c:strRef>
              <c:f>'Performance Results'!$G$12</c:f>
              <c:strCache>
                <c:ptCount val="1"/>
                <c:pt idx="0">
                  <c:v>2018 Elapsed Time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val>
            <c:numRef>
              <c:f>'Performance Results'!$G$13:$G$22</c:f>
              <c:numCache>
                <c:formatCode>#,##0.0000000</c:formatCode>
                <c:ptCount val="10"/>
                <c:pt idx="0">
                  <c:v>1.140625</c:v>
                </c:pt>
                <c:pt idx="1">
                  <c:v>1.1875</c:v>
                </c:pt>
                <c:pt idx="2">
                  <c:v>1.1328130000000001</c:v>
                </c:pt>
                <c:pt idx="3">
                  <c:v>1.125</c:v>
                </c:pt>
                <c:pt idx="4">
                  <c:v>1.1328130000000001</c:v>
                </c:pt>
                <c:pt idx="5">
                  <c:v>1.128906</c:v>
                </c:pt>
                <c:pt idx="6">
                  <c:v>1.144531</c:v>
                </c:pt>
                <c:pt idx="7">
                  <c:v>1.140625</c:v>
                </c:pt>
                <c:pt idx="8">
                  <c:v>1.140625</c:v>
                </c:pt>
                <c:pt idx="9">
                  <c:v>1.113281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FF-4AAC-9783-A39A9885A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0861616"/>
        <c:axId val="4381955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'Performance Results'!$F$26</c15:sqref>
                        </c15:formulaRef>
                      </c:ext>
                    </c:extLst>
                    <c:strCache>
                      <c:ptCount val="1"/>
                      <c:pt idx="0">
                        <c:v>Run Number</c:v>
                      </c:pt>
                    </c:strCache>
                  </c:strRef>
                </c:tx>
                <c:spPr>
                  <a:pattFill prst="narHorz">
                    <a:fgClr>
                      <a:schemeClr val="accent1"/>
                    </a:fgClr>
                    <a:bgClr>
                      <a:schemeClr val="accent1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1"/>
                    </a:innerShdw>
                  </a:effectLst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'Performance Results'!$B$27:$B$36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'Performance Results'!$F$27:$F$36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AFF-4AAC-9783-A39A9885A0F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'Performance Results'!$H$26</c15:sqref>
                        </c15:formulaRef>
                      </c:ext>
                    </c:extLst>
                    <c:strCache>
                      <c:ptCount val="1"/>
                      <c:pt idx="0">
                        <c:v>Difference In Time Between Runs</c:v>
                      </c:pt>
                    </c:strCache>
                  </c:strRef>
                </c:tx>
                <c:spPr>
                  <a:pattFill prst="narHorz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3"/>
                    </a:innerShdw>
                  </a:effectLst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'Performance Results'!$B$27:$B$36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'Performance Results'!$H$27:$H$36</c15:sqref>
                        </c15:formulaRef>
                      </c:ext>
                    </c:extLst>
                    <c:numCache>
                      <c:formatCode>#,##0.0000000</c:formatCode>
                      <c:ptCount val="10"/>
                      <c:pt idx="0">
                        <c:v>6.6406199999999999E-2</c:v>
                      </c:pt>
                      <c:pt idx="1">
                        <c:v>2.7343699999999999E-2</c:v>
                      </c:pt>
                      <c:pt idx="2">
                        <c:v>1.1718699999999999E-2</c:v>
                      </c:pt>
                      <c:pt idx="3">
                        <c:v>1.1718800000000001E-2</c:v>
                      </c:pt>
                      <c:pt idx="4">
                        <c:v>1.5625E-2</c:v>
                      </c:pt>
                      <c:pt idx="5">
                        <c:v>1.1718800000000001E-2</c:v>
                      </c:pt>
                      <c:pt idx="6">
                        <c:v>1.1718699999999999E-2</c:v>
                      </c:pt>
                      <c:pt idx="7">
                        <c:v>1.1718699999999999E-2</c:v>
                      </c:pt>
                      <c:pt idx="8">
                        <c:v>7.8125E-3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AFF-4AAC-9783-A39A9885A0F8}"/>
                  </c:ext>
                </c:extLst>
              </c15:ser>
            </c15:filteredBarSeries>
          </c:ext>
        </c:extLst>
      </c:barChart>
      <c:catAx>
        <c:axId val="64086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195584"/>
        <c:crosses val="autoZero"/>
        <c:auto val="1"/>
        <c:lblAlgn val="ctr"/>
        <c:lblOffset val="100"/>
        <c:noMultiLvlLbl val="0"/>
      </c:catAx>
      <c:valAx>
        <c:axId val="438195584"/>
        <c:scaling>
          <c:orientation val="minMax"/>
          <c:max val="1.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616"/>
        <c:crosses val="autoZero"/>
        <c:crossBetween val="between"/>
        <c:majorUnit val="0.2"/>
        <c:minorUnit val="1.0000000000000002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2</xdr:row>
          <xdr:rowOff>123825</xdr:rowOff>
        </xdr:from>
        <xdr:to>
          <xdr:col>6</xdr:col>
          <xdr:colOff>314325</xdr:colOff>
          <xdr:row>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4</xdr:row>
          <xdr:rowOff>180975</xdr:rowOff>
        </xdr:from>
        <xdr:to>
          <xdr:col>7</xdr:col>
          <xdr:colOff>152400</xdr:colOff>
          <xdr:row>6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DQ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180975</xdr:rowOff>
        </xdr:from>
        <xdr:to>
          <xdr:col>6</xdr:col>
          <xdr:colOff>495300</xdr:colOff>
          <xdr:row>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28575</xdr:rowOff>
        </xdr:from>
        <xdr:to>
          <xdr:col>6</xdr:col>
          <xdr:colOff>171450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1419225</xdr:colOff>
      <xdr:row>37</xdr:row>
      <xdr:rowOff>9524</xdr:rowOff>
    </xdr:from>
    <xdr:to>
      <xdr:col>6</xdr:col>
      <xdr:colOff>85725</xdr:colOff>
      <xdr:row>52</xdr:row>
      <xdr:rowOff>152399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37</xdr:row>
      <xdr:rowOff>0</xdr:rowOff>
    </xdr:from>
    <xdr:to>
      <xdr:col>13</xdr:col>
      <xdr:colOff>95250</xdr:colOff>
      <xdr:row>52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6</xdr:col>
      <xdr:colOff>152400</xdr:colOff>
      <xdr:row>72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A4" sqref="A4"/>
    </sheetView>
  </sheetViews>
  <sheetFormatPr defaultRowHeight="15" x14ac:dyDescent="0.25"/>
  <cols>
    <col min="1" max="1" width="4" bestFit="1" customWidth="1"/>
    <col min="2" max="2" width="6.28515625" bestFit="1" customWidth="1"/>
    <col min="3" max="3" width="10.42578125" bestFit="1" customWidth="1"/>
    <col min="4" max="8" width="10" bestFit="1" customWidth="1"/>
    <col min="9" max="9" width="9" bestFit="1" customWidth="1"/>
  </cols>
  <sheetData>
    <row r="1" spans="1:9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5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5">
      <c r="A4" s="1">
        <v>2</v>
      </c>
      <c r="B4" t="s">
        <v>8</v>
      </c>
      <c r="C4" t="s">
        <v>22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5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5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5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5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5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5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5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5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5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5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5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5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5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5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5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5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5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5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5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5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5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5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5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5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5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5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5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5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5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5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5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5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5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5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5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5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5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5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5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5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5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5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5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5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5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5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5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5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5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5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5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5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5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5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5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5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5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5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5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5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5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5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5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5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5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5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5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5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5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5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5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5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5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5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5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5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5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5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5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5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5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5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5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5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5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5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5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5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5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5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5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5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5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5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5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5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5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5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5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5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5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5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5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5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5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5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5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5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5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5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5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5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5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5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5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5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5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5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5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5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5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5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5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5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5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5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5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5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5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5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5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5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5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5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5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5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5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5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5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5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5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5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5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5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5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5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5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5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5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5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5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5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5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5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5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5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5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5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5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5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5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5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5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5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5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5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5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5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5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5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5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5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5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5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5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5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5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5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5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5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5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5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5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5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5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5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5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5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5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5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5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5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5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5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5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5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5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5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5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5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5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5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5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5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5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5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5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5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5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5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5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5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5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5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5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5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5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5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5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5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5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5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5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5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5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5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5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5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5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5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5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5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5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5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5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5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5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5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5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5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5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5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5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5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5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5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5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5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5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5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5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5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5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5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5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5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5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5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5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5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5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5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5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5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5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5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5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5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5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5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5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5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5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5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5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5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5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5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5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5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5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5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5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5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5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5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5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5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5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5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5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5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5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5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5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5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5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5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5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5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5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5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5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5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5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5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5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5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5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5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5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5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5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5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5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5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5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5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5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5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5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5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5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5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5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5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5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5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5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5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5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5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5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5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5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5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5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5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5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5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5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5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5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5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5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5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5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5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5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5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5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5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5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5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5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5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5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5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5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5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5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5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5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5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5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5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5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5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5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5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5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5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5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5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5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5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5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5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5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5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5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5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5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5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5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5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5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5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5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5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5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5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5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5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5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5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5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5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5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5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5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5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5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5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5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5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5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5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5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5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5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5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5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5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5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5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5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5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5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5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5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5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5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5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5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5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5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5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5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5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5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5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5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5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5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5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5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5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5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5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5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5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5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5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5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5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5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5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5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5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5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5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5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5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5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5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5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5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5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5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5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5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5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5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5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5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5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5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5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5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5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5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5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5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5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5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5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5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5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5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5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5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5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5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5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5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5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5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5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5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5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5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5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5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5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5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5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5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5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5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5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5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5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5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5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5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5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5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5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5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5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5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5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5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5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5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5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5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5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5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5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5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5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5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5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5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5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5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5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5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5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5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5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5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5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5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5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5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5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5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5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5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5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5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5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5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5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5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5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5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5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5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5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5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5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5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5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5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5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5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5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5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5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5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5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5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5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5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5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5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5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5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5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5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5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5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5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5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5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5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5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5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5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5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5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5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5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5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5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5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5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5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5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5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5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5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5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5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5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5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5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5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5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5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5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5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5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5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5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5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5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5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5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5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5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5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5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5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5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5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5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5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5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5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5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5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5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5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5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5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5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5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5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5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5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5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5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5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5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5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5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5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5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5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5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5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5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5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5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5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5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5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5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5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5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5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5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5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5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5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5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5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5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5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5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5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5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5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5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5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5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5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5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5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5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5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5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5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5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5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5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5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5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5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5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5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5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5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5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5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5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5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5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5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5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5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5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5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5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5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5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5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5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5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5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5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5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5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5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5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5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5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5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5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5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5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5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5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5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5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5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5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5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5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5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5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5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5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5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5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5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5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5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5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5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5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5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5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5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5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5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5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5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5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5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5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5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5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5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5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5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5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5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5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5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5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5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5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5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5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5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5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5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5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5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5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5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5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5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5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5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5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5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5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5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5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5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5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5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5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5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5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5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5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5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5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5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5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5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5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5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5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5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5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5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5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5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5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5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5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5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5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5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5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5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5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5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5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5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5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5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5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5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5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5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5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5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5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5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5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5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5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5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5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5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5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5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5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5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5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5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5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5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5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5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5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5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5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5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5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5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5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5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5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5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5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5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5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5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5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5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5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5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5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5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5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5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5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5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5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5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5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5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5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5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5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5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5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5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5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5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5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5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5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5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5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5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5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5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5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5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5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5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5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5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5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5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5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5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5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5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5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5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5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5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5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5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5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5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5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5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5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5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5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5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5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5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5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5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5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5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5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5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5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5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5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5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5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5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5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5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5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5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5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5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5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5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5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5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5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5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5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5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5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5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5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5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5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5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5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5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5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5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5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5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5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5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5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5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5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5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5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5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5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5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5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5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5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5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5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5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5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5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5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5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5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5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5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5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5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5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5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5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5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5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5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5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5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5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5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5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5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5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5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5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5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5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5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5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5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5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5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5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5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5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5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5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5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5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5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5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5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5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5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5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5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5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5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5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5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5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5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5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5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5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5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5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5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5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5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5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5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5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5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5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5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5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5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5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5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5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5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5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5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5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5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5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5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5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5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5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5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5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5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5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5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5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5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5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5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5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5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5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5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5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5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5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5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5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5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5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5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5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5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5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5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5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5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5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5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5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5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5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5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5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5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5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5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5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5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5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5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5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5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5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5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5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5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5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5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5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5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5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5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5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5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5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5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5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5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5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5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5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5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5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5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5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5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5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5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5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5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5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5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5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5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5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5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5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5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5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5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5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5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5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5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5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5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5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5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5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5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5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5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5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5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5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5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5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5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5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5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5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5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5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5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5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5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5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5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5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5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5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5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5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5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5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5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5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5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5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5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5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5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5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5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5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5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5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5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5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5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5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5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5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5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5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5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5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5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5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5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5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5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5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5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5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5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5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5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5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5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5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5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5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5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5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5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5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5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5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5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5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5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5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5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5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5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5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5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5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5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5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5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5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5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5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5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5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5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5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5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5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5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5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5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5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5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5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5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5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5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5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5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5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5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5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5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5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5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5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5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5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5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5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5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5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5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5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5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5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5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5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5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5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5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5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5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5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5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5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5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5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5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5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5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5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5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5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5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5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5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5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5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5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5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5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5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5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5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5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5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5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5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5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5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5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5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5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5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5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5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5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5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5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5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5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5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5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5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5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5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5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5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5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5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5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5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5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5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5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5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5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5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5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5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5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5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5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5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5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5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5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5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5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5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5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5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5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5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5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5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5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5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5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5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5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5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5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5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5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5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5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5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5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5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5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5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5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5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5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5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5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5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5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5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5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5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5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5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5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5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5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5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5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5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5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5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5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5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5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5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5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5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5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5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5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5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5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5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5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5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5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5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5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5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5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5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5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5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5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5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5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5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5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5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5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5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5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5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5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5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5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5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5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5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5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5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5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5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5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5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5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5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5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5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5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5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5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5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5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5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5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5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5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5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5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5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5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5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5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5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5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5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5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5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5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5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5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5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5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5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5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5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5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5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5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5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5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5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5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5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5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5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5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5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5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5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5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5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5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5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5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5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5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5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5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5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5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5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5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5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5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5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5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5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5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5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5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5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5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5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5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5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5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5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5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5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5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5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5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5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5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5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5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5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5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5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5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5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5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5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5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5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5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5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5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5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5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5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5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5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5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5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5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5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5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5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5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5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5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5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5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5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5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5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5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5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5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5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5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5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5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5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5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5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5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5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5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5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5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5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5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5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5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5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5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5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5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5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5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5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5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5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5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5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5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5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5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5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5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5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5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5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5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5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5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5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5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5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5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5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5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5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5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5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5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5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5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5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5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5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5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5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5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5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5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5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5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5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5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5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5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5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5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5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5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5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5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5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5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5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5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5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5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5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5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5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5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5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5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5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5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5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5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5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5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5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5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5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5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5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5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5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5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5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5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5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5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5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5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5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5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5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5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5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5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5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5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5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5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5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5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5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5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5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5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5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5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5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5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5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5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5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5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5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5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5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5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5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5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5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5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5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5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5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5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5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5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5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5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5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5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5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5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5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5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5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5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5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5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5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5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5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5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5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5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5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5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5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5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5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5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5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5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5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5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5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5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5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5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5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5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5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5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5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5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5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5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5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5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5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5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5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5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5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5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5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5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5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5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5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5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5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5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5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5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5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5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5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5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5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5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5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5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5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5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5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5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5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5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5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5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5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5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5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5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5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5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5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5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5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5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5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5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5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5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5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5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5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5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5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5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5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5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5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5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5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5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5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5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5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5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5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5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5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5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5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5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5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5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5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5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5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5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5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5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5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5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5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5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5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5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5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5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5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5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5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5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5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5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5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5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5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5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5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5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5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5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5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5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5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5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5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5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5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5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5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5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5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5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5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5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5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5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5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5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5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5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5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5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5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5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5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5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5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5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5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5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5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5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5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5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5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5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5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5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5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5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5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5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5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5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5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5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5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5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5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5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5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5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5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5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5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5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5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5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5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5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5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5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5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5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5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5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5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5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5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5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5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5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5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5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5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5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5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5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5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5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5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5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5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5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5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5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5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5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5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5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5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5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5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5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5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5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5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5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5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5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5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5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5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5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5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5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5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5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5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5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5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5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5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5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5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5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5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5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5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5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5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5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5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5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5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5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5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5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5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5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5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5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5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5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5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5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5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5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5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5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5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5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5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5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5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5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5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5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5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5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5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5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5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5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5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5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5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5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5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5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5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5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5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5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5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5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5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5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5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5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5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5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5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5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5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5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5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5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5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5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5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5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5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5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5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5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5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5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5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5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5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5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5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5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5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5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5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5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5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5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5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5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5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5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5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5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5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5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5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5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5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5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5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5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5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5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5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5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5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5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5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5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5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5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5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5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5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5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5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5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5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5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5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5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5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5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5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5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5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5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5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5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5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5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5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5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5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5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5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5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5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5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5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5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5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5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5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5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5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5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5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5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5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5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5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5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5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5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5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5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5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5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5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5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5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5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5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5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5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5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5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5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5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5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5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5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5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5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5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5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5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5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5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5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5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5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5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5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5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5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5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5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5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5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5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5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5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5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5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5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5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5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5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5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5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5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5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5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5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5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5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5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5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5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5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5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5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5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5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5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5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5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5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5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5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5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5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5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5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5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5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5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5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5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5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5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5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5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5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5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5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5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5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5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5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5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5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5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5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5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5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5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5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5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5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5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5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5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5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5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5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5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5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5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5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5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5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5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5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5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5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5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5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5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5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5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5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5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5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5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5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5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5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5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5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5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5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5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5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5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5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5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5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5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5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5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5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5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5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5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5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5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5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5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5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5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5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5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5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5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5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5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5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5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5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5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5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5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5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5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5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5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5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5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5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5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5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5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5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5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5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5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5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5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5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5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5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5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5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5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5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5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5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5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5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5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5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5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5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5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5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5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5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5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5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5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5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5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5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5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5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5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5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5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5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5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5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5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5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5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5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5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5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5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5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5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5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5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5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5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5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5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5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5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5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5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5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5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5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5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5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5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5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5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5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5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5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5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5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5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5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5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5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5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5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5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5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5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5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5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5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5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5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5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5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5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5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5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5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5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5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5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5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5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5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5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5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5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5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5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5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5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5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5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5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5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5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5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5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5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5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5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5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5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5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5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5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5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5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5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5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5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5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5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5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5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5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5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5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5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5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5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5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5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5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5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5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5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5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5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5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5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5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5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5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5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5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5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5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5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5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5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5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5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5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5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5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5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5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5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5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5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5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5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5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5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5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5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5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5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5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5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5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5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5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5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5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5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5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5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5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5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5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5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5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5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5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5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5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5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5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5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5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5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5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5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5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5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5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5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5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5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5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5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5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5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5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5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5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5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5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5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5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5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5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5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5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5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5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5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5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5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5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5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5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5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5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5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5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5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5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5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5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5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5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5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5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5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5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5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5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5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5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5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5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5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5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5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5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5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5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5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5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5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5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5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5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5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5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5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5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5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5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5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5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5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5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5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5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5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5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5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5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5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5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5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5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5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5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5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5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5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5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5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5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5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5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5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5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5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5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5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5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5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5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5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5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5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5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5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5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5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5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5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5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5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5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5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5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5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5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5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5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5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5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5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5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5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5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5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5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5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5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5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5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5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5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5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5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5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5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5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5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5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5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5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5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5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5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5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5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5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5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5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5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5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5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5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5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5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5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5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5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5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5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5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5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5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5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5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5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5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5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5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5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5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5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5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5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5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5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5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5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5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5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5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5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5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5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5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5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5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5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5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5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5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5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5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5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5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5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5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5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5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5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5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5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5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5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5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5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5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5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5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5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5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5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5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5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5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5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5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5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5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5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5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5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5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5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5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5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5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5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5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5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5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5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5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5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5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5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5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5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5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5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5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5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5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5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5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5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5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5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5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5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5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5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5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5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5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5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5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5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5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5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5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5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5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5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5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5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5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5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5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5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5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5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5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5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5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5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5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5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5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5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5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5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5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5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5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5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5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5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5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5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5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5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5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5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5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5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5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5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5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5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5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5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5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5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5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5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5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5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5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5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5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5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5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5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5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5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5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5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5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5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5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5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5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5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5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5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5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5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5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5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5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5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5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5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5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5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5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5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5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5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5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5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5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5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5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5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5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5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5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5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5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5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5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5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5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5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5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5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5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5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5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5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5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5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5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5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5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5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5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5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5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5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5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5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5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5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5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5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5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5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5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5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5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5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5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5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5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5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5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5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5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5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5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5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5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5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5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5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5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5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5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5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5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5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5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5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5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5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5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5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5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5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5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5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5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5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5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5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5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5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5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5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5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5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5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5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5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5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5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5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5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5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5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5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5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5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5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5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5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5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5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5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5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5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5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5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5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5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5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5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5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5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5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5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5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5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5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5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5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5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5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5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5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5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5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5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5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5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5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5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5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5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5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5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5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5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5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5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5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5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5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5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5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5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5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5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5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5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5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5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5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5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5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5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5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5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5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5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5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5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5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5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5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5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5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5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5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5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5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5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5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5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5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5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5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5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5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5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5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5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5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5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5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5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5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5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5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5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5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5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5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5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5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5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5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5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5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5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5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5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5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5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5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5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5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5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5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5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5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5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5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5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5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5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5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5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5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5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5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5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5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5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5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5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5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topLeftCell="A226" workbookViewId="0">
      <selection activeCell="B252" sqref="B252"/>
    </sheetView>
  </sheetViews>
  <sheetFormatPr defaultRowHeight="15" x14ac:dyDescent="0.25"/>
  <cols>
    <col min="3" max="3" width="10.42578125" bestFit="1" customWidth="1"/>
  </cols>
  <sheetData>
    <row r="1" spans="1:9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5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5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5">
      <c r="A5" s="1">
        <v>3</v>
      </c>
      <c r="B5" t="s">
        <v>8</v>
      </c>
      <c r="C5" t="s">
        <v>274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5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5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5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5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5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5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5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5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5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5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5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5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5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5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5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5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5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5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5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5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5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5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5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5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5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5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5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5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5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5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5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5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5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5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5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5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5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5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5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5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5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5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5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5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5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5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5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5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5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5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5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5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5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5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5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5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5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5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5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5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5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5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5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5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5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5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5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5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5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5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5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5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5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5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5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5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5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5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5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5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5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5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5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5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5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5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5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5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5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5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5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5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5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5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5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5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5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5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5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5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5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5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5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5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5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5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5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5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5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5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5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5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5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5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5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5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5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5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5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5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5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5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5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5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5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5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5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5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5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5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5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5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5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5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5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5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5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5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5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5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5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5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5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5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5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5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5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5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5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5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5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5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5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5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5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5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5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5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5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5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5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5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5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5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5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5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5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5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5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5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5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5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5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5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5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5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5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5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5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5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5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5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5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5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5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5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5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5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5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5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5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5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5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5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5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5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5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5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5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5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5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5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5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5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5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5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5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5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5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5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5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5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5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5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5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5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5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5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5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5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5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5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5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5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5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5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5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5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5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5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5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5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5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5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5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5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5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5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5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5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5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5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5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5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5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5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5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5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5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5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5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5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5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5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5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5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5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5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5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5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5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5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5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5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5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5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5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5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5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5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5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5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5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5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5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5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5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5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5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5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5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5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5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5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5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5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5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5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5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5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5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5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5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5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5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5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5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5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5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5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5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5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5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5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5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5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5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5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5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5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5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5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5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5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5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5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5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5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5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5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5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5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5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5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5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5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5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5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5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5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5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5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5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5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5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5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5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5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5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5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5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5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5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5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5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5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5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5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5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5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5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5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5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5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5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5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5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5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5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5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5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5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5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5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5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5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5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5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5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5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5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5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5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5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5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5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5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5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5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5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5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5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5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5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5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5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5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5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5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5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5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5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5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5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5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5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5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5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5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5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5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5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5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5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5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5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5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5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5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5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5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5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5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5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5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5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5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5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5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5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5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5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5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5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5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5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5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5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5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5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5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5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5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5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5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5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5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5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5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5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5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5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5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5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5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5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5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5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5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5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5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5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5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5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5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5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5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5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5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5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5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5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5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5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5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5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5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5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5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5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5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5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5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5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5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5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5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5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5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5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5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5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5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5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5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5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5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5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5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5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5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5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5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5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5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5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5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5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5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5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5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5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5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5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5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5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5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5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5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5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5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5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5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5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5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5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5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5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5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5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5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5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5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5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5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5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5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5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5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5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5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5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5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5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5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5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5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5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5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5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5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5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5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5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5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5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5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5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5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5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5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5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5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5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5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5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5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5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5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5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5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5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5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5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5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5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5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5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5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5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5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5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5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5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5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5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5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5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5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5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5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5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5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5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5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5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5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5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5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5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5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5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5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5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5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5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5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5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5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5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5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5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5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5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5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5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5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5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5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5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5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5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5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5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5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5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5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5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5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5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5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5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5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5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5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5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5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5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5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5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5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5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5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5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5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5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5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5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5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5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5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5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5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5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5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5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5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5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5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5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5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5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5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5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5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5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5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5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5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5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5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5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5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5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5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5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5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5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5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5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5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5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5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5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5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5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5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5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5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5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5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5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5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5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5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5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5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5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5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5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5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5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5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5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5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5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5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5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5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5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5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5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5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5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5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5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5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5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5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5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5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5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5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5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5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5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5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5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5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5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5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5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5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5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5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5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5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5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5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5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5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5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5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5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5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5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5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5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5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5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5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5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5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5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5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5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5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5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5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5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5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5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5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5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5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5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5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5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5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5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5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5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5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5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5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5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5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5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5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5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5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5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5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5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5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5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5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5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5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5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5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5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5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5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5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5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5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5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5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5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5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5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5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5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5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5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5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5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5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5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5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5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5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5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5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5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5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5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5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5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5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5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5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5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5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5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5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5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5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5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5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5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5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5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5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5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5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5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5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5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5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5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5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5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5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5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5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5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5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5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5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5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5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5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5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5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5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5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5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5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5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5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5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5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5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5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5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5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5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5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5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5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5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5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5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5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5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5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5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5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5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5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5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5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5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5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5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5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5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5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5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5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5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5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5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5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5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5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5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5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5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5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5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5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5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5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5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5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5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5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5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5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5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5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5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5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5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5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5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5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5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5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5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5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5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5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5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5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5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5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5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5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5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5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5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5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5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5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5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5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5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5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5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5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5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5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5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5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5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5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5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5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5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5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5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5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5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5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5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5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5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5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5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5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5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5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5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5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5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5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5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5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5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5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5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5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5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5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5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5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5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5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5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5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5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5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5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5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5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5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5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5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5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5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5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5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5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5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5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5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5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5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5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5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5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5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5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5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5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5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5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5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5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5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5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5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5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5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5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5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5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5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5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5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5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5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5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5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5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5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5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5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5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5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5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5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5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5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5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5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5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5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5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5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5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5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5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5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5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5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5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5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5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5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5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5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5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5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5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5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5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5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5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5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5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5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5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5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5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5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5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5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5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5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5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5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5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5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5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5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5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5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5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5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5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5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5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5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5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5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5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5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5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5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5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5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5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5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5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5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5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5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5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5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5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5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5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5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5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5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5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5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5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5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5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5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5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5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5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5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5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5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5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5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5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5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5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5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5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5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5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5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5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5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5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5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5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5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5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5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5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5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5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5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5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5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5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5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5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5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5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5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5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5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5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5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5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5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5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5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5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5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5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5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5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5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5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5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5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5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5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5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5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5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5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5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5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5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5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5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5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5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5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5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5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5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5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5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5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5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5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5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5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5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5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5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5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5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5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5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5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5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5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5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5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5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5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5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5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5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5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5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5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5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5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5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5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5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5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5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5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5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5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5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5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5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5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5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5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5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5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5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5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5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5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5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5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5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5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5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5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5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5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5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5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5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5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5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5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5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5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5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5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5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5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5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5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5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5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5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5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5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5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5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5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5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5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5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5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5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5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5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5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5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5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5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5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5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5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5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5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5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5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5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5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5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5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5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5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5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5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5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5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5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5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5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5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5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5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5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5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5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5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5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5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5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5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5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5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5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5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5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5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5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5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5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5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5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5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5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5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5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5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5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5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5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5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5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5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5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5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5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5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5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5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5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5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5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5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5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5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5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5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5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5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5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5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5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5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5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5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5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5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5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5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5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5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5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5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5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5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5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5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5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5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5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5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5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5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5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5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5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5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5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5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5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5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5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5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5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5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5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5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5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5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5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5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5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5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5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5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5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5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5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5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5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5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5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5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5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5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5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5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5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5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5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5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5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5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5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5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5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5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5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5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5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5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5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5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5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5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5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5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5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5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5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5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5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5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5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5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5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5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5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5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5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5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5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5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5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5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5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5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5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5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5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5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5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5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5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5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5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5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5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5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5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5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5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5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5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5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5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5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5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5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5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5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5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5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5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5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5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5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5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5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5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5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5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5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5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5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5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5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5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5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5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5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5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5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5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5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5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5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5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5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5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5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5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5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5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5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5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5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5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5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5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5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5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5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5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5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5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5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5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5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5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5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5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5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5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5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5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5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5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5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5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5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5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5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5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5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5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5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5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5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5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5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5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5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5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5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5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5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5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5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5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5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5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5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5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5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5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5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5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5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5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5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5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5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5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5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5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5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5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5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5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5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5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5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5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5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5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5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5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5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5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5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5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5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5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5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5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5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5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5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5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5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5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5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5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5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5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5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5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5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5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5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5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5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5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5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5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5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5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5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5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5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5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5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5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5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5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5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5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5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5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5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5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5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5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5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5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5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5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5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5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5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5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5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5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5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5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5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5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5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5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5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5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5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5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5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5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5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5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5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5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5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5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5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5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5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5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5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5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5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5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5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5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5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5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5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5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5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5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5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5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5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5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5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5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5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5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5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5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5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5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5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5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5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5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5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5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5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5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5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5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5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5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5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5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5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5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5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5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5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5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5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5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5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5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5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5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5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5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5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5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5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5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5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5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5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5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5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5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5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5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5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5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5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5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5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5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5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5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5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5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5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5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5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5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5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5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5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5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5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5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5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5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5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5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5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5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5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5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5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5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5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5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5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5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5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5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5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5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5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5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5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5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5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5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5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5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5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5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5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5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5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5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5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5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5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5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5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5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5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5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5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5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5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5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5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5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5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5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5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5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5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5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5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5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5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5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5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5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5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5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5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5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5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5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5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5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5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5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5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5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5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5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5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5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5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5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5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5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5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5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5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5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5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5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5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5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5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5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5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5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5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5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5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5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5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5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5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5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5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5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5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5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5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5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5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5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5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5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5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5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5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5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5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5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5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5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5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5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5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5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5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5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5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5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5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5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5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5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5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5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5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5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5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5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5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5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5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5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5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5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5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5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5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5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5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5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5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5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5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5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5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5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5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5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5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5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5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5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5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5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5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5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5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5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5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5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5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5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5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5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5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5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5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5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5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5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5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5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5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5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5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5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5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5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5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5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5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5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5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5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5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5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5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5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5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5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5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5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5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5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5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5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5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5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5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5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5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5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5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5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5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5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5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5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5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5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5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5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5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5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5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5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5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5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5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5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5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5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5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5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5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5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5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5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5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5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5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5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5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5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5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5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5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5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5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5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5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5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5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5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5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5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5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5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5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5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5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5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5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5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5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5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5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5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5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5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5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5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5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5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5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5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5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5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5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5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5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5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5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5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5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5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5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5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5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5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5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5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5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5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5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5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5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5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5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5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5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5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5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5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5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5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5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5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5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5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5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5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5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5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5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5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5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5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5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5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5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5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5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5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5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5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5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5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5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5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5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5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5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5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5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5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5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5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5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5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5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5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5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5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5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5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5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5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5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5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5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5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5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5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5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5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5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5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5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5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5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5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5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5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5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5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5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5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5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5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5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5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5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5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5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5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5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5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5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5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5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5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5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5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5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5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5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5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5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5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5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5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5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5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5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5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5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5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5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5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5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5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5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5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5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5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5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5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5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5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5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5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5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5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5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5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5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5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5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5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5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5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5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5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5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5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5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5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5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5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5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5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5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5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5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5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5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5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5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5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5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5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5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5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5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5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5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5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5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5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5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5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5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5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5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5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5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5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5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5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5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5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5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5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5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5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5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5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5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5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5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5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5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5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5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5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5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5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5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5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5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5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5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5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5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5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5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5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5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5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5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5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5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5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5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5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5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5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5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5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5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5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5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5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5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5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5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5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5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5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5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5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5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5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5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5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5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5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5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5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5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5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5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5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5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5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5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5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5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5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5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5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5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5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5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5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5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5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5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5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5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5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5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5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5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5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5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5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5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5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5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5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5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5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5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5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5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5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5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5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5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5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5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5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5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5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5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5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5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5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5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5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5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5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5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5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5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5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5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5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5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5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5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5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5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5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5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5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5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5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5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5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5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5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5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5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5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5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5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5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5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5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5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5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5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5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5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5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5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5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5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5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5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5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5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5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5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5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5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5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5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5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5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5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5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5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5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5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5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5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5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5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5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5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5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5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5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5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5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5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5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5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5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5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5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5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5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5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5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5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5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5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5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5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5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5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5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5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5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5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5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5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5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5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5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5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5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5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5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5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5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5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5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5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5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5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5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5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5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5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5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5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5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5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5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5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5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5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5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5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5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5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5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5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5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5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5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5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5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5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5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5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5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5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5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5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5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5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5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5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5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5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5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5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5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5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5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5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5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5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5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5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5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5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5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5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5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5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5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5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5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5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5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5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5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5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5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5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5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5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5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5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5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5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5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5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5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5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5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5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5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5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5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5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5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5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5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5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5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5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5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5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5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5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5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5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5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5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5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5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5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5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5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5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5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5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5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5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5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5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5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5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5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5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5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5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5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5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5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5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5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5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5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5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5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5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5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5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5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5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5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5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5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5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5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5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5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5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5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5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5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5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5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5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5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5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5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5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5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5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5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5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5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5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5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5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5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5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5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5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5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5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5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5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5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5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5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5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5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5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5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5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5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5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5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5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5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5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5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5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5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5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5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5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5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5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5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5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5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5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5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5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5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5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5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5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5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5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5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5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5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5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5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5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5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5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5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5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5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5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5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5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5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5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5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5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5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5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5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5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5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5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5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5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5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5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5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5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5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5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5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5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5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5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5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5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5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5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5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5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5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5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5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5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5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5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5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5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5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5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5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5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5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5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5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5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5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5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5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5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5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5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5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5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5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5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5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5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5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5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5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5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5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5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5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5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5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5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5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5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5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5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5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5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5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5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5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5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5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5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5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5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5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5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5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5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5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5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5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5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5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5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5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5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5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5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5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5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5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5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5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5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5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5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5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5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5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5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5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5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5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5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5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5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5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5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5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5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5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5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5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5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5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5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5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5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5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5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5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5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5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5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5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5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5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5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5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5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5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5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5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5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5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5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5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5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5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5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5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5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5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5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5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5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5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5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5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5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5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5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5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5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5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5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5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5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5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5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5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5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5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5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5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5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5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5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5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5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5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5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5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5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5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5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5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5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5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5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5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5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5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5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5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5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5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5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5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5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5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5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5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5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5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5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5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5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5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5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5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5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5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5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5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5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5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5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5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5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5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5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5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5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5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5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5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5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5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5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5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5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5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5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5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5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5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5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5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5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5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5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5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5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5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5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5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5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5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5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5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5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5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5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5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5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5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5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5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5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5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5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5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5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5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5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5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5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5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5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5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5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5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5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5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5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5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5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5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5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5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5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5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5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5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5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5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5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5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5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5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5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5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5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5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5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5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5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5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5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5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5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5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5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5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5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5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5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5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5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5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5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5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5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5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5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5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5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5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5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5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5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5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5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5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5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5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5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5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5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5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5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5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5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5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5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5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5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5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5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5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5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5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5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5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5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5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5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5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5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5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5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5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5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5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5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5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5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5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5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5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5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5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5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5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5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5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5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5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5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5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5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5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5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5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5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5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5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5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5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5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5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5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5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5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5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5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5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5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5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5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5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5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5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5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5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5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5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5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5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5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5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5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5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5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5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5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5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0B2A-0C0B-49CC-AE94-433DE7E11874}">
  <sheetPr codeName="Sheet3"/>
  <dimension ref="A1:C4"/>
  <sheetViews>
    <sheetView workbookViewId="0">
      <selection activeCell="F8" sqref="F8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>
                  <from>
                    <xdr:col>4</xdr:col>
                    <xdr:colOff>371475</xdr:colOff>
                    <xdr:row>2</xdr:row>
                    <xdr:rowOff>123825</xdr:rowOff>
                  </from>
                  <to>
                    <xdr:col>6</xdr:col>
                    <xdr:colOff>314325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>
                  <from>
                    <xdr:col>4</xdr:col>
                    <xdr:colOff>400050</xdr:colOff>
                    <xdr:row>4</xdr:row>
                    <xdr:rowOff>180975</xdr:rowOff>
                  </from>
                  <to>
                    <xdr:col>7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16558-1409-4E4E-9DA8-01675C013208}">
  <sheetPr codeName="Sheet4"/>
  <dimension ref="A1:C15"/>
  <sheetViews>
    <sheetView topLeftCell="A2" workbookViewId="0">
      <selection activeCell="A21" sqref="A21"/>
    </sheetView>
  </sheetViews>
  <sheetFormatPr defaultRowHeight="15" x14ac:dyDescent="0.25"/>
  <cols>
    <col min="2" max="2" width="24" bestFit="1" customWidth="1"/>
  </cols>
  <sheetData>
    <row r="1" spans="1:3" x14ac:dyDescent="0.25">
      <c r="A1" t="s">
        <v>564</v>
      </c>
    </row>
    <row r="2" spans="1:3" ht="18.75" x14ac:dyDescent="0.3">
      <c r="A2" s="3" t="s">
        <v>0</v>
      </c>
      <c r="B2" s="3" t="s">
        <v>524</v>
      </c>
      <c r="C2" s="3" t="s">
        <v>525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2">
        <v>136070928</v>
      </c>
      <c r="C4" s="8">
        <v>8.9368253946304321E-2</v>
      </c>
    </row>
    <row r="5" spans="1:3" x14ac:dyDescent="0.25">
      <c r="A5" t="s">
        <v>9</v>
      </c>
      <c r="B5" s="2">
        <v>310592768</v>
      </c>
      <c r="C5" s="8">
        <v>0.33070248365402222</v>
      </c>
    </row>
    <row r="6" spans="1:3" x14ac:dyDescent="0.25">
      <c r="A6" t="s">
        <v>10</v>
      </c>
      <c r="B6" s="2">
        <v>35796200</v>
      </c>
      <c r="C6" s="8">
        <v>1.9944583177566528</v>
      </c>
    </row>
    <row r="7" spans="1:3" x14ac:dyDescent="0.25">
      <c r="A7" t="s">
        <v>11</v>
      </c>
      <c r="B7" s="2">
        <v>221772096</v>
      </c>
      <c r="C7" s="8">
        <v>1.2952382564544678</v>
      </c>
    </row>
    <row r="8" spans="1:3" x14ac:dyDescent="0.25">
      <c r="A8" t="s">
        <v>12</v>
      </c>
      <c r="B8" s="2">
        <v>684181120</v>
      </c>
      <c r="C8" s="8">
        <v>1.0131185054779053</v>
      </c>
    </row>
    <row r="9" spans="1:3" x14ac:dyDescent="0.25">
      <c r="A9" t="s">
        <v>13</v>
      </c>
      <c r="B9" s="2">
        <v>80949264</v>
      </c>
      <c r="C9" s="8">
        <v>0.2583681046962738</v>
      </c>
    </row>
    <row r="10" spans="1:3" x14ac:dyDescent="0.25">
      <c r="A10" t="s">
        <v>14</v>
      </c>
      <c r="B10" s="2">
        <v>191632352</v>
      </c>
      <c r="C10" s="8">
        <v>0.53870755434036255</v>
      </c>
    </row>
    <row r="11" spans="1:3" x14ac:dyDescent="0.25">
      <c r="A11" t="s">
        <v>15</v>
      </c>
      <c r="B11" s="2">
        <v>267681312</v>
      </c>
      <c r="C11" s="8">
        <v>5.5456161499023438E-2</v>
      </c>
    </row>
    <row r="12" spans="1:3" x14ac:dyDescent="0.25">
      <c r="A12" t="s">
        <v>16</v>
      </c>
      <c r="B12" s="2">
        <v>206885136</v>
      </c>
      <c r="C12" s="8">
        <v>1.8446969985961914</v>
      </c>
    </row>
    <row r="13" spans="1:3" x14ac:dyDescent="0.25">
      <c r="A13" t="s">
        <v>17</v>
      </c>
      <c r="B13" s="2">
        <v>782187200</v>
      </c>
      <c r="C13" s="8">
        <v>0.23065699636936188</v>
      </c>
    </row>
    <row r="14" spans="1:3" x14ac:dyDescent="0.25">
      <c r="A14" t="s">
        <v>18</v>
      </c>
      <c r="B14" s="2">
        <v>139402784</v>
      </c>
      <c r="C14" s="7">
        <v>-7.2148971259593964E-2</v>
      </c>
    </row>
    <row r="15" spans="1:3" x14ac:dyDescent="0.25">
      <c r="A15" t="s">
        <v>19</v>
      </c>
      <c r="B15" s="2">
        <v>109487920</v>
      </c>
      <c r="C15" s="8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>
                  <from>
                    <xdr:col>3</xdr:col>
                    <xdr:colOff>581025</xdr:colOff>
                    <xdr:row>0</xdr:row>
                    <xdr:rowOff>180975</xdr:rowOff>
                  </from>
                  <to>
                    <xdr:col>6</xdr:col>
                    <xdr:colOff>495300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>
                  <from>
                    <xdr:col>3</xdr:col>
                    <xdr:colOff>600075</xdr:colOff>
                    <xdr:row>3</xdr:row>
                    <xdr:rowOff>28575</xdr:rowOff>
                  </from>
                  <to>
                    <xdr:col>6</xdr:col>
                    <xdr:colOff>171450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00711-6329-4843-AFA7-F85D05A7AB1A}">
  <sheetPr codeName="Sheet5"/>
  <dimension ref="A2:H36"/>
  <sheetViews>
    <sheetView tabSelected="1" workbookViewId="0">
      <selection activeCell="C27" sqref="C27"/>
    </sheetView>
  </sheetViews>
  <sheetFormatPr defaultRowHeight="15" x14ac:dyDescent="0.25"/>
  <cols>
    <col min="1" max="1" width="59" bestFit="1" customWidth="1"/>
    <col min="2" max="3" width="22.28515625" bestFit="1" customWidth="1"/>
    <col min="4" max="4" width="31.28515625" bestFit="1" customWidth="1"/>
    <col min="5" max="5" width="16.28515625" bestFit="1" customWidth="1"/>
    <col min="6" max="6" width="12.140625" bestFit="1" customWidth="1"/>
    <col min="7" max="7" width="14.28515625" bestFit="1" customWidth="1"/>
    <col min="8" max="8" width="31.28515625" bestFit="1" customWidth="1"/>
    <col min="9" max="9" width="15" bestFit="1" customWidth="1"/>
  </cols>
  <sheetData>
    <row r="2" spans="1:8" ht="45" x14ac:dyDescent="0.25">
      <c r="A2" s="5" t="s">
        <v>526</v>
      </c>
    </row>
    <row r="3" spans="1:8" x14ac:dyDescent="0.25">
      <c r="A3" t="s">
        <v>529</v>
      </c>
      <c r="B3" t="s">
        <v>552</v>
      </c>
      <c r="C3" t="s">
        <v>553</v>
      </c>
      <c r="D3" t="s">
        <v>554</v>
      </c>
    </row>
    <row r="4" spans="1:8" x14ac:dyDescent="0.25">
      <c r="A4" t="s">
        <v>556</v>
      </c>
      <c r="B4" s="10">
        <f>AVERAGE(C13:C22)</f>
        <v>1.1445314999999998</v>
      </c>
      <c r="C4" s="10">
        <f>AVERAGE(G13:G22)</f>
        <v>1.1386719000000001</v>
      </c>
      <c r="D4" s="10">
        <f>AVERAGE(C13:C22,G13:G22)</f>
        <v>1.1416017000000001</v>
      </c>
    </row>
    <row r="5" spans="1:8" x14ac:dyDescent="0.25">
      <c r="A5" t="s">
        <v>557</v>
      </c>
      <c r="B5" s="10">
        <f>AVERAGE(D13:D21)</f>
        <v>2.2135333333333323E-2</v>
      </c>
      <c r="C5" s="10">
        <f>AVERAGE(H13:H21)</f>
        <v>1.8663333333333351E-2</v>
      </c>
      <c r="D5" s="10">
        <f>AVERAGE(D13:D21,H13:H21)</f>
        <v>2.0399333333333339E-2</v>
      </c>
    </row>
    <row r="6" spans="1:8" x14ac:dyDescent="0.25">
      <c r="A6" t="s">
        <v>558</v>
      </c>
      <c r="B6" s="10">
        <f>AVERAGE(C27:C36)</f>
        <v>0.20351565999999996</v>
      </c>
      <c r="C6" s="10">
        <f>AVERAGE(G27:G36)</f>
        <v>0.20351564999999999</v>
      </c>
      <c r="D6" s="10">
        <f>AVERAGE(C27:C36,G27:G36)</f>
        <v>0.20351565499999999</v>
      </c>
    </row>
    <row r="7" spans="1:8" x14ac:dyDescent="0.25">
      <c r="A7" t="s">
        <v>559</v>
      </c>
      <c r="B7" s="10">
        <f>AVERAGE(D27:D35)</f>
        <v>1.6493044444444441E-2</v>
      </c>
      <c r="C7" s="10">
        <f>AVERAGE(H27:H35)</f>
        <v>1.9531233333333332E-2</v>
      </c>
      <c r="D7" s="10">
        <f>AVERAGE(D27:D35,H27:H35)</f>
        <v>1.8012138888888887E-2</v>
      </c>
    </row>
    <row r="8" spans="1:8" x14ac:dyDescent="0.25">
      <c r="A8" t="s">
        <v>565</v>
      </c>
      <c r="B8" s="11">
        <f>($D$4-$D$6)/$D$4</f>
        <v>0.82172796781924906</v>
      </c>
    </row>
    <row r="9" spans="1:8" x14ac:dyDescent="0.25">
      <c r="A9" t="s">
        <v>566</v>
      </c>
      <c r="B9" s="11">
        <f>(D5-D7)/D5</f>
        <v>0.11702315979825084</v>
      </c>
    </row>
    <row r="11" spans="1:8" x14ac:dyDescent="0.25">
      <c r="A11" s="6" t="s">
        <v>527</v>
      </c>
      <c r="B11" s="6"/>
      <c r="C11" s="6"/>
      <c r="D11" s="6"/>
      <c r="E11" s="6"/>
      <c r="F11" s="6"/>
      <c r="G11" s="6"/>
      <c r="H11" s="6"/>
    </row>
    <row r="12" spans="1:8" x14ac:dyDescent="0.25">
      <c r="A12" s="6" t="s">
        <v>540</v>
      </c>
      <c r="B12" s="6" t="s">
        <v>541</v>
      </c>
      <c r="C12" s="6" t="s">
        <v>560</v>
      </c>
      <c r="D12" s="6" t="s">
        <v>555</v>
      </c>
      <c r="E12" s="6" t="s">
        <v>540</v>
      </c>
      <c r="F12" s="6" t="s">
        <v>541</v>
      </c>
      <c r="G12" s="6" t="s">
        <v>561</v>
      </c>
      <c r="H12" s="6" t="s">
        <v>555</v>
      </c>
    </row>
    <row r="13" spans="1:8" x14ac:dyDescent="0.25">
      <c r="A13" t="s">
        <v>530</v>
      </c>
      <c r="B13">
        <v>1</v>
      </c>
      <c r="C13" s="9">
        <v>1.1875</v>
      </c>
      <c r="D13" s="9">
        <f>ABS(C13-C14)</f>
        <v>8.2030999999999965E-2</v>
      </c>
      <c r="E13" t="s">
        <v>542</v>
      </c>
      <c r="F13">
        <v>1</v>
      </c>
      <c r="G13" s="9">
        <v>1.140625</v>
      </c>
      <c r="H13" s="9">
        <f>ABS(G13-G14)</f>
        <v>4.6875E-2</v>
      </c>
    </row>
    <row r="14" spans="1:8" x14ac:dyDescent="0.25">
      <c r="A14" t="s">
        <v>531</v>
      </c>
      <c r="B14">
        <v>2</v>
      </c>
      <c r="C14" s="9">
        <v>1.105469</v>
      </c>
      <c r="D14" s="9">
        <f t="shared" ref="D14:D21" si="0">ABS(C14-C15)</f>
        <v>4.2969000000000035E-2</v>
      </c>
      <c r="E14" t="s">
        <v>543</v>
      </c>
      <c r="F14">
        <v>2</v>
      </c>
      <c r="G14" s="9">
        <v>1.1875</v>
      </c>
      <c r="H14" s="9">
        <f t="shared" ref="H14:H21" si="1">ABS(G14-G15)</f>
        <v>5.468699999999993E-2</v>
      </c>
    </row>
    <row r="15" spans="1:8" x14ac:dyDescent="0.25">
      <c r="A15" t="s">
        <v>532</v>
      </c>
      <c r="B15">
        <v>3</v>
      </c>
      <c r="C15" s="9">
        <v>1.1484380000000001</v>
      </c>
      <c r="D15" s="9">
        <f t="shared" si="0"/>
        <v>3.9059999999999651E-3</v>
      </c>
      <c r="E15" t="s">
        <v>544</v>
      </c>
      <c r="F15">
        <v>3</v>
      </c>
      <c r="G15" s="9">
        <v>1.1328130000000001</v>
      </c>
      <c r="H15" s="9">
        <f t="shared" si="1"/>
        <v>7.8130000000000699E-3</v>
      </c>
    </row>
    <row r="16" spans="1:8" x14ac:dyDescent="0.25">
      <c r="A16" t="s">
        <v>533</v>
      </c>
      <c r="B16">
        <v>4</v>
      </c>
      <c r="C16" s="9">
        <v>1.152344</v>
      </c>
      <c r="D16" s="9">
        <f t="shared" si="0"/>
        <v>1.9530999999999965E-2</v>
      </c>
      <c r="E16" t="s">
        <v>545</v>
      </c>
      <c r="F16">
        <v>4</v>
      </c>
      <c r="G16" s="9">
        <v>1.125</v>
      </c>
      <c r="H16" s="9">
        <f t="shared" si="1"/>
        <v>7.8130000000000699E-3</v>
      </c>
    </row>
    <row r="17" spans="1:8" x14ac:dyDescent="0.25">
      <c r="A17" t="s">
        <v>534</v>
      </c>
      <c r="B17">
        <v>5</v>
      </c>
      <c r="C17" s="9">
        <v>1.1328130000000001</v>
      </c>
      <c r="D17" s="9">
        <f t="shared" si="0"/>
        <v>0</v>
      </c>
      <c r="E17" t="s">
        <v>546</v>
      </c>
      <c r="F17">
        <v>5</v>
      </c>
      <c r="G17" s="9">
        <v>1.1328130000000001</v>
      </c>
      <c r="H17" s="9">
        <f t="shared" si="1"/>
        <v>3.9070000000001048E-3</v>
      </c>
    </row>
    <row r="18" spans="1:8" x14ac:dyDescent="0.25">
      <c r="A18" t="s">
        <v>535</v>
      </c>
      <c r="B18">
        <v>6</v>
      </c>
      <c r="C18" s="9">
        <v>1.1328130000000001</v>
      </c>
      <c r="D18" s="9">
        <f t="shared" si="0"/>
        <v>1.1717999999999895E-2</v>
      </c>
      <c r="E18" t="s">
        <v>547</v>
      </c>
      <c r="F18">
        <v>6</v>
      </c>
      <c r="G18" s="9">
        <v>1.128906</v>
      </c>
      <c r="H18" s="9">
        <f t="shared" si="1"/>
        <v>1.5625E-2</v>
      </c>
    </row>
    <row r="19" spans="1:8" x14ac:dyDescent="0.25">
      <c r="A19" t="s">
        <v>536</v>
      </c>
      <c r="B19">
        <v>7</v>
      </c>
      <c r="C19" s="9">
        <v>1.144531</v>
      </c>
      <c r="D19" s="9">
        <f t="shared" si="0"/>
        <v>7.8130000000000699E-3</v>
      </c>
      <c r="E19" t="s">
        <v>548</v>
      </c>
      <c r="F19">
        <v>7</v>
      </c>
      <c r="G19" s="9">
        <v>1.144531</v>
      </c>
      <c r="H19" s="9">
        <f t="shared" si="1"/>
        <v>3.9059999999999651E-3</v>
      </c>
    </row>
    <row r="20" spans="1:8" x14ac:dyDescent="0.25">
      <c r="A20" t="s">
        <v>537</v>
      </c>
      <c r="B20">
        <v>8</v>
      </c>
      <c r="C20" s="9">
        <v>1.152344</v>
      </c>
      <c r="D20" s="9">
        <f t="shared" si="0"/>
        <v>1.5625E-2</v>
      </c>
      <c r="E20" t="s">
        <v>549</v>
      </c>
      <c r="F20">
        <v>8</v>
      </c>
      <c r="G20" s="9">
        <v>1.140625</v>
      </c>
      <c r="H20" s="9">
        <f t="shared" si="1"/>
        <v>0</v>
      </c>
    </row>
    <row r="21" spans="1:8" x14ac:dyDescent="0.25">
      <c r="A21" t="s">
        <v>538</v>
      </c>
      <c r="B21">
        <v>9</v>
      </c>
      <c r="C21" s="9">
        <v>1.136719</v>
      </c>
      <c r="D21" s="9">
        <f t="shared" si="0"/>
        <v>1.5625E-2</v>
      </c>
      <c r="E21" t="s">
        <v>550</v>
      </c>
      <c r="F21">
        <v>9</v>
      </c>
      <c r="G21" s="9">
        <v>1.140625</v>
      </c>
      <c r="H21" s="9">
        <f t="shared" si="1"/>
        <v>2.7344000000000035E-2</v>
      </c>
    </row>
    <row r="22" spans="1:8" x14ac:dyDescent="0.25">
      <c r="A22" t="s">
        <v>539</v>
      </c>
      <c r="B22">
        <v>10</v>
      </c>
      <c r="C22" s="9">
        <v>1.152344</v>
      </c>
      <c r="D22" s="9"/>
      <c r="E22" t="s">
        <v>551</v>
      </c>
      <c r="F22">
        <v>10</v>
      </c>
      <c r="G22" s="9">
        <v>1.113281</v>
      </c>
      <c r="H22" s="9"/>
    </row>
    <row r="25" spans="1:8" x14ac:dyDescent="0.25">
      <c r="A25" s="6" t="s">
        <v>528</v>
      </c>
      <c r="B25" s="6"/>
      <c r="C25" s="6"/>
      <c r="D25" s="6"/>
      <c r="E25" s="6"/>
      <c r="F25" s="6"/>
      <c r="G25" s="6"/>
      <c r="H25" s="6"/>
    </row>
    <row r="26" spans="1:8" x14ac:dyDescent="0.25">
      <c r="A26" s="6" t="s">
        <v>540</v>
      </c>
      <c r="B26" s="6" t="s">
        <v>541</v>
      </c>
      <c r="C26" s="6" t="s">
        <v>562</v>
      </c>
      <c r="D26" s="6" t="s">
        <v>555</v>
      </c>
      <c r="E26" s="6" t="s">
        <v>540</v>
      </c>
      <c r="F26" s="6" t="s">
        <v>541</v>
      </c>
      <c r="G26" s="6" t="s">
        <v>563</v>
      </c>
      <c r="H26" s="6" t="s">
        <v>555</v>
      </c>
    </row>
    <row r="27" spans="1:8" x14ac:dyDescent="0.25">
      <c r="A27" t="s">
        <v>530</v>
      </c>
      <c r="B27">
        <v>1</v>
      </c>
      <c r="C27" s="9">
        <v>0.27734379999999997</v>
      </c>
      <c r="D27" s="9">
        <f t="shared" ref="D27:D35" si="2">ABS(C27-C28)</f>
        <v>8.5937499999999972E-2</v>
      </c>
      <c r="E27" t="s">
        <v>542</v>
      </c>
      <c r="F27">
        <v>1</v>
      </c>
      <c r="G27" s="9">
        <v>0.2578125</v>
      </c>
      <c r="H27" s="9">
        <f t="shared" ref="H27:H35" si="3">ABS(G27-G28)</f>
        <v>6.6406199999999999E-2</v>
      </c>
    </row>
    <row r="28" spans="1:8" x14ac:dyDescent="0.25">
      <c r="A28" t="s">
        <v>531</v>
      </c>
      <c r="B28">
        <v>2</v>
      </c>
      <c r="C28" s="9">
        <v>0.1914063</v>
      </c>
      <c r="D28" s="9">
        <f t="shared" si="2"/>
        <v>7.8125E-3</v>
      </c>
      <c r="E28" t="s">
        <v>543</v>
      </c>
      <c r="F28">
        <v>2</v>
      </c>
      <c r="G28" s="9">
        <v>0.1914063</v>
      </c>
      <c r="H28" s="9">
        <f t="shared" si="3"/>
        <v>2.7343699999999999E-2</v>
      </c>
    </row>
    <row r="29" spans="1:8" x14ac:dyDescent="0.25">
      <c r="A29" t="s">
        <v>532</v>
      </c>
      <c r="B29">
        <v>3</v>
      </c>
      <c r="C29" s="9">
        <v>0.1992188</v>
      </c>
      <c r="D29" s="9">
        <f t="shared" si="2"/>
        <v>3.9061999999999986E-3</v>
      </c>
      <c r="E29" t="s">
        <v>544</v>
      </c>
      <c r="F29">
        <v>3</v>
      </c>
      <c r="G29" s="9">
        <v>0.21875</v>
      </c>
      <c r="H29" s="9">
        <f t="shared" si="3"/>
        <v>1.1718699999999999E-2</v>
      </c>
    </row>
    <row r="30" spans="1:8" x14ac:dyDescent="0.25">
      <c r="A30" t="s">
        <v>533</v>
      </c>
      <c r="B30">
        <v>4</v>
      </c>
      <c r="C30" s="9">
        <v>0.203125</v>
      </c>
      <c r="D30" s="9">
        <f t="shared" si="2"/>
        <v>1.5625E-2</v>
      </c>
      <c r="E30" t="s">
        <v>545</v>
      </c>
      <c r="F30">
        <v>4</v>
      </c>
      <c r="G30" s="9">
        <v>0.2070313</v>
      </c>
      <c r="H30" s="9">
        <f t="shared" si="3"/>
        <v>1.1718800000000001E-2</v>
      </c>
    </row>
    <row r="31" spans="1:8" x14ac:dyDescent="0.25">
      <c r="A31" t="s">
        <v>534</v>
      </c>
      <c r="B31">
        <v>5</v>
      </c>
      <c r="C31" s="9">
        <v>0.1875</v>
      </c>
      <c r="D31" s="9">
        <f t="shared" si="2"/>
        <v>1.1718800000000001E-2</v>
      </c>
      <c r="E31" t="s">
        <v>546</v>
      </c>
      <c r="F31">
        <v>5</v>
      </c>
      <c r="G31" s="9">
        <v>0.1953125</v>
      </c>
      <c r="H31" s="9">
        <f t="shared" si="3"/>
        <v>1.5625E-2</v>
      </c>
    </row>
    <row r="32" spans="1:8" x14ac:dyDescent="0.25">
      <c r="A32" t="s">
        <v>535</v>
      </c>
      <c r="B32">
        <v>6</v>
      </c>
      <c r="C32" s="9">
        <v>0.1992188</v>
      </c>
      <c r="D32" s="9">
        <f t="shared" si="2"/>
        <v>7.8125E-3</v>
      </c>
      <c r="E32" t="s">
        <v>547</v>
      </c>
      <c r="F32">
        <v>6</v>
      </c>
      <c r="G32" s="9">
        <v>0.1796875</v>
      </c>
      <c r="H32" s="9">
        <f t="shared" si="3"/>
        <v>1.1718800000000001E-2</v>
      </c>
    </row>
    <row r="33" spans="1:8" x14ac:dyDescent="0.25">
      <c r="A33" t="s">
        <v>536</v>
      </c>
      <c r="B33">
        <v>7</v>
      </c>
      <c r="C33" s="9">
        <v>0.1914063</v>
      </c>
      <c r="D33" s="9">
        <f t="shared" si="2"/>
        <v>3.9061999999999986E-3</v>
      </c>
      <c r="E33" t="s">
        <v>548</v>
      </c>
      <c r="F33">
        <v>7</v>
      </c>
      <c r="G33" s="9">
        <v>0.1914063</v>
      </c>
      <c r="H33" s="9">
        <f t="shared" si="3"/>
        <v>1.1718699999999999E-2</v>
      </c>
    </row>
    <row r="34" spans="1:8" x14ac:dyDescent="0.25">
      <c r="A34" t="s">
        <v>537</v>
      </c>
      <c r="B34">
        <v>8</v>
      </c>
      <c r="C34" s="9">
        <v>0.1953125</v>
      </c>
      <c r="D34" s="9">
        <f t="shared" si="2"/>
        <v>3.9061999999999986E-3</v>
      </c>
      <c r="E34" t="s">
        <v>549</v>
      </c>
      <c r="F34">
        <v>8</v>
      </c>
      <c r="G34" s="9">
        <v>0.203125</v>
      </c>
      <c r="H34" s="9">
        <f t="shared" si="3"/>
        <v>1.1718699999999999E-2</v>
      </c>
    </row>
    <row r="35" spans="1:8" x14ac:dyDescent="0.25">
      <c r="A35" t="s">
        <v>538</v>
      </c>
      <c r="B35">
        <v>9</v>
      </c>
      <c r="C35" s="9">
        <v>0.1914063</v>
      </c>
      <c r="D35" s="9">
        <f t="shared" si="2"/>
        <v>7.8125E-3</v>
      </c>
      <c r="E35" t="s">
        <v>550</v>
      </c>
      <c r="F35">
        <v>9</v>
      </c>
      <c r="G35" s="9">
        <v>0.1914063</v>
      </c>
      <c r="H35" s="9">
        <f t="shared" si="3"/>
        <v>7.8125E-3</v>
      </c>
    </row>
    <row r="36" spans="1:8" x14ac:dyDescent="0.25">
      <c r="A36" t="s">
        <v>539</v>
      </c>
      <c r="B36">
        <v>10</v>
      </c>
      <c r="C36" s="9">
        <v>0.1992188</v>
      </c>
      <c r="D36" s="9"/>
      <c r="E36" t="s">
        <v>551</v>
      </c>
      <c r="F36">
        <v>10</v>
      </c>
      <c r="G36" s="9">
        <v>0.1992188</v>
      </c>
      <c r="H36" s="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Performance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McBee</dc:creator>
  <cp:lastModifiedBy>David McBee</cp:lastModifiedBy>
  <dcterms:created xsi:type="dcterms:W3CDTF">2019-05-02T20:23:55Z</dcterms:created>
  <dcterms:modified xsi:type="dcterms:W3CDTF">2020-07-21T21:32:35Z</dcterms:modified>
</cp:coreProperties>
</file>